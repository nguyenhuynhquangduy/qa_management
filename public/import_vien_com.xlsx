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Admin</author>
    <author>USER</author>
  </authors>
  <commentList>
    <comment ref="F2" authorId="1">
      <text>
        <r>
          <rPr>
            <sz val="9"/>
            <color rgb="FF000000"/>
            <rFont val="Tahoma"/>
            <family val="2"/>
            <charset val="1"/>
          </rPr>
          <t xml:space="preserve">cốm màu gì? Hoạt chât gì? (nếu viên 2 màu, nhiều hoạt chất)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0</xdr:rowOff>
              </xdr:from>
              <xdr:to>
                <xdr:col>7</xdr:col>
                <xdr:colOff>47</xdr:colOff>
                <xdr:row>1</xdr:row>
                <xdr:rowOff>44</xdr:rowOff>
              </xdr:to>
            </anchor>
          </commentPr>
        </mc:Choice>
        <mc:Fallback/>
      </mc:AlternateContent>
    </comment>
    <comment ref="P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THT 1.03%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44</xdr:colOff>
                <xdr:row>73</xdr:row>
                <xdr:rowOff>5</xdr:rowOff>
              </xdr:from>
              <xdr:to>
                <xdr:col>17</xdr:col>
                <xdr:colOff>15</xdr:colOff>
                <xdr:row>77</xdr:row>
                <xdr:rowOff>13</xdr:rowOff>
              </xdr:to>
            </anchor>
          </commentPr>
        </mc:Choice>
        <mc:Fallback/>
      </mc:AlternateContent>
    </comment>
    <comment ref="V2" authorId="1">
      <text>
        <r>
          <rPr>
            <sz val="9"/>
            <color rgb="FF000000"/>
            <rFont val="Tahoma"/>
            <family val="2"/>
            <charset val="1"/>
          </rPr>
          <t xml:space="preserve">đóng chai, ép vỉ, ép gói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23</xdr:colOff>
                <xdr:row>0</xdr:row>
                <xdr:rowOff>0</xdr:rowOff>
              </xdr:from>
              <xdr:to>
                <xdr:col>23</xdr:col>
                <xdr:colOff>47</xdr:colOff>
                <xdr:row>1</xdr:row>
                <xdr:rowOff>14</xdr:rowOff>
              </xdr:to>
            </anchor>
          </commentPr>
        </mc:Choice>
        <mc:Fallback/>
      </mc:AlternateContent>
    </comment>
    <comment ref="X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1174
lấy phần dư 40 kg viên xay ra do xử lý viên đen ko đạt , dập lại BF lại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35</xdr:colOff>
                <xdr:row>73</xdr:row>
                <xdr:rowOff>5</xdr:rowOff>
              </xdr:from>
              <xdr:to>
                <xdr:col>25</xdr:col>
                <xdr:colOff>81</xdr:colOff>
                <xdr:row>78</xdr:row>
                <xdr:rowOff>15</xdr:rowOff>
              </xdr:to>
            </anchor>
          </commentPr>
        </mc:Choice>
        <mc:Fallback/>
      </mc:AlternateContent>
    </comment>
    <comment ref="Y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774-794mg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7</xdr:colOff>
                <xdr:row>41</xdr:row>
                <xdr:rowOff>8</xdr:rowOff>
              </xdr:from>
              <xdr:to>
                <xdr:col>24</xdr:col>
                <xdr:colOff>20</xdr:colOff>
                <xdr:row>49</xdr:row>
                <xdr:rowOff>5</xdr:rowOff>
              </xdr:to>
            </anchor>
          </commentPr>
        </mc:Choice>
        <mc:Fallback/>
      </mc:AlternateContent>
    </comment>
    <comment ref="AA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800 mg 104%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84</xdr:colOff>
                <xdr:row>4</xdr:row>
                <xdr:rowOff>34</xdr:rowOff>
              </xdr:from>
              <xdr:to>
                <xdr:col>27</xdr:col>
                <xdr:colOff>50</xdr:colOff>
                <xdr:row>41</xdr:row>
                <xdr:rowOff>6</xdr:rowOff>
              </xdr:to>
            </anchor>
          </commentPr>
        </mc:Choice>
        <mc:Fallback/>
      </mc:AlternateContent>
    </comment>
    <comment ref="AA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TLV 791 mg , DL 100,3%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84</xdr:colOff>
                <xdr:row>41</xdr:row>
                <xdr:rowOff>8</xdr:rowOff>
              </xdr:from>
              <xdr:to>
                <xdr:col>28</xdr:col>
                <xdr:colOff>51</xdr:colOff>
                <xdr:row>49</xdr:row>
                <xdr:rowOff>2</xdr:rowOff>
              </xdr:to>
            </anchor>
          </commentPr>
        </mc:Choice>
        <mc:Fallback/>
      </mc:AlternateContent>
    </comment>
    <comment ref="AR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viên sau bao: min 1124mg , max :1194 mg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37</xdr:colOff>
                <xdr:row>73</xdr:row>
                <xdr:rowOff>5</xdr:rowOff>
              </xdr:from>
              <xdr:to>
                <xdr:col>38</xdr:col>
                <xdr:colOff>33</xdr:colOff>
                <xdr:row>77</xdr:row>
                <xdr:rowOff>13</xdr:rowOff>
              </xdr:to>
            </anchor>
          </commentPr>
        </mc:Choice>
        <mc:Fallback/>
      </mc:AlternateContent>
    </comment>
    <comment ref="AU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mẻ 1: bao nhiệt độ 50 , me 2  nhiệt độ 53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21</xdr:colOff>
                <xdr:row>41</xdr:row>
                <xdr:rowOff>8</xdr:rowOff>
              </xdr:from>
              <xdr:to>
                <xdr:col>40</xdr:col>
                <xdr:colOff>66</xdr:colOff>
                <xdr:row>49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<sst xmlns="http://schemas.openxmlformats.org/spreadsheetml/2006/main" count="177" uniqueCount="150">
  <si>
    <t xml:space="preserve">STT</t>
  </si>
  <si>
    <t xml:space="preserve"> </t>
  </si>
  <si>
    <t xml:space="preserve">THÔNG TIN PHA CHẾ - ĐÓNG GÓI</t>
  </si>
  <si>
    <t xml:space="preserve">BTP - cốm</t>
  </si>
  <si>
    <t xml:space="preserve">Dập viên/ Bao phim/ Đóng nang</t>
  </si>
  <si>
    <t xml:space="preserve">THÀNH PHẨM</t>
  </si>
  <si>
    <t xml:space="preserve">Số Sai lệch</t>
  </si>
  <si>
    <t xml:space="preserve">Số kiểm soát thay đổi</t>
  </si>
  <si>
    <t xml:space="preserve">nk</t>
  </si>
  <si>
    <t xml:space="preserve">Số lô</t>
  </si>
  <si>
    <t xml:space="preserve">TĐ</t>
  </si>
  <si>
    <t xml:space="preserve">Tên sản phẩm</t>
  </si>
  <si>
    <t xml:space="preserve">Họat chất</t>
  </si>
  <si>
    <t xml:space="preserve">Dạng BC</t>
  </si>
  <si>
    <t xml:space="preserve">QCĐG</t>
  </si>
  <si>
    <t xml:space="preserve">cỡ lô</t>
  </si>
  <si>
    <t xml:space="preserve">Ghi chú, Xử lý, tách lô (nếu có)</t>
  </si>
  <si>
    <t xml:space="preserve">Ngày PC</t>
  </si>
  <si>
    <t xml:space="preserve">Hệ số bù</t>
  </si>
  <si>
    <t xml:space="preserve">Độ ẩm cốm màu 1</t>
  </si>
  <si>
    <t xml:space="preserve">Độ ẩm cốm màu 2</t>
  </si>
  <si>
    <t xml:space="preserve">Độ cứng</t>
  </si>
  <si>
    <t xml:space="preserve">Độ rã ( phút)</t>
  </si>
  <si>
    <t xml:space="preserve">Đọ mài mòn</t>
  </si>
  <si>
    <t xml:space="preserve">Ngày ĐG cấp 1</t>
  </si>
  <si>
    <t xml:space="preserve">Khối lượng cốm</t>
  </si>
  <si>
    <t xml:space="preserve">Số lượng giao nộp</t>
  </si>
  <si>
    <t xml:space="preserve">KLV (mg)
(yêu cầu dập)</t>
  </si>
  <si>
    <t xml:space="preserve">KLV (mg)
(QC ra phiếu)</t>
  </si>
  <si>
    <t xml:space="preserve">ĐL </t>
  </si>
  <si>
    <t xml:space="preserve">Tạp đơn</t>
  </si>
  <si>
    <t xml:space="preserve">Tạp khác</t>
  </si>
  <si>
    <t xml:space="preserve">Tổng tạp</t>
  </si>
  <si>
    <t xml:space="preserve">KLV (mg)
(y. cầu)</t>
  </si>
  <si>
    <t xml:space="preserve">KLV (mg)
(PKN)</t>
  </si>
  <si>
    <t xml:space="preserve">ĐL</t>
  </si>
  <si>
    <t xml:space="preserve">Đồng đều đơn vị liều</t>
  </si>
  <si>
    <t xml:space="preserve">Rã</t>
  </si>
  <si>
    <t xml:space="preserve">Hòa tan (S1)</t>
  </si>
  <si>
    <t xml:space="preserve">Hòa tan (S2)</t>
  </si>
  <si>
    <t xml:space="preserve">Tổng Tạp</t>
  </si>
  <si>
    <t xml:space="preserve">Ngày kiểm</t>
  </si>
  <si>
    <t xml:space="preserve">Lô CF</t>
  </si>
  <si>
    <t xml:space="preserve">KLV (mg)</t>
  </si>
  <si>
    <t xml:space="preserve">Độ rã</t>
  </si>
  <si>
    <t xml:space="preserve">HÒA TAN ( S1 )</t>
  </si>
  <si>
    <t xml:space="preserve">HÒA TAN ( S2 )</t>
  </si>
  <si>
    <t xml:space="preserve">Tạp 4-amino</t>
  </si>
  <si>
    <t xml:space="preserve">ĐỘ MỊN (%)</t>
  </si>
  <si>
    <t xml:space="preserve">ĐỘ Ẩm (%)</t>
  </si>
  <si>
    <t xml:space="preserve">DDDVL TB %</t>
  </si>
  <si>
    <t xml:space="preserve">DDDVL (AV %)</t>
  </si>
  <si>
    <t xml:space="preserve">DDDVL Viên 1</t>
  </si>
  <si>
    <t xml:space="preserve">DDDVL Viên 2</t>
  </si>
  <si>
    <t xml:space="preserve">DDDVL Viên 3</t>
  </si>
  <si>
    <t xml:space="preserve">DDDVL Viên 4</t>
  </si>
  <si>
    <t xml:space="preserve">DDDVL Viên 5</t>
  </si>
  <si>
    <t xml:space="preserve">DDDVL Viên 6</t>
  </si>
  <si>
    <t xml:space="preserve">DDDVL Viên 7</t>
  </si>
  <si>
    <t xml:space="preserve">DDDVL Viên 8</t>
  </si>
  <si>
    <t xml:space="preserve">DDDVL Viên 9</t>
  </si>
  <si>
    <t xml:space="preserve">DDDVL Viên 10</t>
  </si>
  <si>
    <t xml:space="preserve">Sấy</t>
  </si>
  <si>
    <t xml:space="preserve">THT</t>
  </si>
  <si>
    <t xml:space="preserve">Viên</t>
  </si>
  <si>
    <t xml:space="preserve">sấy</t>
  </si>
  <si>
    <t xml:space="preserve">Hoạt chất 1</t>
  </si>
  <si>
    <t xml:space="preserve">Hoạt chất 2</t>
  </si>
  <si>
    <t xml:space="preserve">Viên1</t>
  </si>
  <si>
    <t xml:space="preserve">Viên 2</t>
  </si>
  <si>
    <t xml:space="preserve">Viên 3</t>
  </si>
  <si>
    <t xml:space="preserve">Viên 4</t>
  </si>
  <si>
    <t xml:space="preserve">Viên 5</t>
  </si>
  <si>
    <t xml:space="preserve">Viên 6</t>
  </si>
  <si>
    <t xml:space="preserve">lớn</t>
  </si>
  <si>
    <t xml:space="preserve">nhỏ</t>
  </si>
  <si>
    <t xml:space="preserve">1</t>
  </si>
  <si>
    <t xml:space="preserve">004084</t>
  </si>
  <si>
    <t xml:space="preserve">Bukser 600</t>
  </si>
  <si>
    <t xml:space="preserve">Diosmin 600mg</t>
  </si>
  <si>
    <t xml:space="preserve">VBF</t>
  </si>
  <si>
    <t xml:space="preserve">Hộp 3 x 10 v</t>
  </si>
  <si>
    <t xml:space="preserve">20/08/24</t>
  </si>
  <si>
    <t xml:space="preserve">150-170 N</t>
  </si>
  <si>
    <t xml:space="preserve">07/10/24</t>
  </si>
  <si>
    <t xml:space="preserve">08/10/24</t>
  </si>
  <si>
    <t xml:space="preserve">tá dược dính PVC</t>
  </si>
  <si>
    <t xml:space="preserve">002124</t>
  </si>
  <si>
    <t xml:space="preserve">03/12/24</t>
  </si>
  <si>
    <t xml:space="preserve">190-230</t>
  </si>
  <si>
    <t xml:space="preserve">09/12/24</t>
  </si>
  <si>
    <t xml:space="preserve">11/12/24</t>
  </si>
  <si>
    <t xml:space="preserve">Tá dược dính HPMC 615 và hồ tinh bột, ko có lactose Chia 4 mẻ</t>
  </si>
  <si>
    <t xml:space="preserve">007124</t>
  </si>
  <si>
    <t xml:space="preserve">Lymedic 5</t>
  </si>
  <si>
    <t xml:space="preserve">Glipizid 5mg</t>
  </si>
  <si>
    <t xml:space="preserve">VN</t>
  </si>
  <si>
    <t xml:space="preserve">Thùng 288 hộp Hộp 10 x 10 v</t>
  </si>
  <si>
    <t xml:space="preserve">18/12/24</t>
  </si>
  <si>
    <t xml:space="preserve">1.15%</t>
  </si>
  <si>
    <t xml:space="preserve">60</t>
  </si>
  <si>
    <t xml:space="preserve">25/12/24</t>
  </si>
  <si>
    <t xml:space="preserve">100.3%</t>
  </si>
  <si>
    <t xml:space="preserve">20/12/24</t>
  </si>
  <si>
    <t xml:space="preserve">102.%</t>
  </si>
  <si>
    <t xml:space="preserve">94.5%</t>
  </si>
  <si>
    <t xml:space="preserve">94.9%</t>
  </si>
  <si>
    <t xml:space="preserve">95.5%</t>
  </si>
  <si>
    <t xml:space="preserve">99.5%</t>
  </si>
  <si>
    <t xml:space="preserve">104.6%</t>
  </si>
  <si>
    <t xml:space="preserve">0.07%</t>
  </si>
  <si>
    <t xml:space="preserve">3.46%</t>
  </si>
  <si>
    <t xml:space="preserve">99.1%</t>
  </si>
  <si>
    <t xml:space="preserve">101.6%</t>
  </si>
  <si>
    <t xml:space="preserve">101.4%</t>
  </si>
  <si>
    <t xml:space="preserve">101.8%</t>
  </si>
  <si>
    <t xml:space="preserve">102.9%</t>
  </si>
  <si>
    <t xml:space="preserve">102.3%</t>
  </si>
  <si>
    <t xml:space="preserve">104.7%</t>
  </si>
  <si>
    <t xml:space="preserve">005124</t>
  </si>
  <si>
    <t xml:space="preserve">Cedivas 12</t>
  </si>
  <si>
    <t xml:space="preserve">Candesartan cilexetil 12 mg</t>
  </si>
  <si>
    <t xml:space="preserve">v.nén</t>
  </si>
  <si>
    <t xml:space="preserve">Hộp 10 x 10 v</t>
  </si>
  <si>
    <t xml:space="preserve">24/12/24</t>
  </si>
  <si>
    <t xml:space="preserve">49-50</t>
  </si>
  <si>
    <t xml:space="preserve">8/1/25</t>
  </si>
  <si>
    <t xml:space="preserve">13/12/24</t>
  </si>
  <si>
    <t xml:space="preserve">Cốm dư nước bị ướt, trộn xong đóng thành khối</t>
  </si>
  <si>
    <t xml:space="preserve">Lựa viên bị chấm đen 693,4 g</t>
  </si>
  <si>
    <t xml:space="preserve">009124</t>
  </si>
  <si>
    <t xml:space="preserve">Methocarbamol MCN 1000</t>
  </si>
  <si>
    <t xml:space="preserve">Methocarbamol 1000 mg</t>
  </si>
  <si>
    <t xml:space="preserve">Thùng 96 hộp Hộp 10 x 10 v</t>
  </si>
  <si>
    <t xml:space="preserve">THT 1</t>
  </si>
  <si>
    <t xml:space="preserve">27/12/24</t>
  </si>
  <si>
    <t xml:space="preserve">1.4%</t>
  </si>
  <si>
    <t xml:space="preserve">1.3%</t>
  </si>
  <si>
    <t xml:space="preserve">130-170</t>
  </si>
  <si>
    <t xml:space="preserve">113.65</t>
  </si>
  <si>
    <t xml:space="preserve">103.4%</t>
  </si>
  <si>
    <t xml:space="preserve">93,7 - 100,9 - tb 96,7%</t>
  </si>
  <si>
    <t xml:space="preserve">kph</t>
  </si>
  <si>
    <t xml:space="preserve">27/02/25</t>
  </si>
  <si>
    <t xml:space="preserve">min 93,9</t>
  </si>
  <si>
    <t xml:space="preserve">max 98</t>
  </si>
  <si>
    <t xml:space="preserve">tb 95,4</t>
  </si>
  <si>
    <t xml:space="preserve">Không phát hiện</t>
  </si>
  <si>
    <t xml:space="preserve">Cốm ko tạo hạt nhẹ, có dập xả hao hụt 4.8kg </t>
  </si>
  <si>
    <t xml:space="preserve">Mè 1 BF 81 kg/bao 11,5h -25/37.5 kg/  , mẻ 2: 60kg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</si>
</sst>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.00%"/>
    <numFmt numFmtId="167" formatCode="#,##0"/>
    <numFmt numFmtId="168" formatCode="0"/>
    <numFmt numFmtId="169" formatCode="0.0"/>
    <numFmt numFmtId="170" formatCode="0%"/>
    <numFmt numFmtId="171" formatCode="0000000"/>
    <numFmt numFmtId="172" formatCode="0.00&quot; mg&quot;"/>
    <numFmt numFmtId="173" formatCode="0.0%"/>
    <numFmt numFmtId="174" formatCode="0.000%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i val="true"/>
      <sz val="16"/>
      <name val="Times New Roman"/>
      <family val="1"/>
      <charset val="1"/>
    </font>
    <font>
      <b val="true"/>
      <i val="true"/>
      <sz val="14"/>
      <name val="Times New Roman"/>
      <family val="1"/>
      <charset val="1"/>
    </font>
    <font>
      <sz val="16"/>
      <name val="Times New Roman"/>
      <family val="1"/>
      <charset val="1"/>
    </font>
    <font>
      <i val="true"/>
      <sz val="16"/>
      <name val="Times New Roman"/>
      <family val="1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A6CAF0"/>
      </patternFill>
    </fill>
    <fill>
      <patternFill patternType="solid">
        <fgColor rgb="FFA6CAF0"/>
        <bgColor rgb="FFC0C0C0"/>
      </patternFill>
    </fill>
    <fill>
      <patternFill patternType="solid">
        <fgColor rgb="FFCCFF99"/>
        <bgColor rgb="FFFFFF99"/>
      </patternFill>
    </fill>
    <fill>
      <patternFill patternType="solid">
        <fgColor rgb="FFE3E3E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true" indent="0" shrinkToFit="tru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true" indent="0" shrinkToFit="true"/>
      <protection locked="true" hidden="false"/>
    </xf>
    <xf numFmtId="173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99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true" outlineLevel="0" collapsed="false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4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3</v>
      </c>
      <c r="Z1" s="5"/>
      <c r="AA1" s="5"/>
      <c r="AB1" s="5"/>
      <c r="AC1" s="5"/>
      <c r="AD1" s="5"/>
      <c r="AE1" s="5"/>
      <c r="AF1" s="6" t="s">
        <v>4</v>
      </c>
      <c r="AG1" s="6"/>
      <c r="AH1" s="6"/>
      <c r="AI1" s="6"/>
      <c r="AJ1" s="6"/>
      <c r="AK1" s="6"/>
      <c r="AL1" s="6"/>
      <c r="AM1" s="6"/>
      <c r="AN1" s="6"/>
      <c r="AO1" s="6"/>
      <c r="AP1" s="7" t="s">
        <v>5</v>
      </c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8" t="s">
        <v>6</v>
      </c>
      <c r="CC1" s="8" t="s">
        <v>7</v>
      </c>
      <c r="CD1" s="8"/>
    </row>
    <row r="2" customFormat="false" ht="55.2" hidden="false" customHeight="true" outlineLevel="0" collapsed="false">
      <c r="A2" s="1"/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H2" s="14" t="s">
        <v>14</v>
      </c>
      <c r="I2" s="15" t="s">
        <v>15</v>
      </c>
      <c r="J2" s="16" t="s">
        <v>16</v>
      </c>
      <c r="K2" s="17" t="s">
        <v>17</v>
      </c>
      <c r="L2" s="18" t="s">
        <v>18</v>
      </c>
      <c r="M2" s="19" t="s">
        <v>19</v>
      </c>
      <c r="N2" s="19"/>
      <c r="O2" s="19"/>
      <c r="P2" s="19" t="s">
        <v>20</v>
      </c>
      <c r="Q2" s="19"/>
      <c r="R2" s="19"/>
      <c r="S2" s="16" t="s">
        <v>21</v>
      </c>
      <c r="T2" s="20" t="s">
        <v>22</v>
      </c>
      <c r="U2" s="20" t="s">
        <v>23</v>
      </c>
      <c r="V2" s="16" t="s">
        <v>24</v>
      </c>
      <c r="W2" s="16" t="s">
        <v>25</v>
      </c>
      <c r="X2" s="16" t="s">
        <v>26</v>
      </c>
      <c r="Y2" s="21" t="s">
        <v>27</v>
      </c>
      <c r="Z2" s="21" t="s">
        <v>28</v>
      </c>
      <c r="AA2" s="22" t="s">
        <v>29</v>
      </c>
      <c r="AB2" s="22"/>
      <c r="AC2" s="23" t="s">
        <v>30</v>
      </c>
      <c r="AD2" s="23" t="s">
        <v>31</v>
      </c>
      <c r="AE2" s="23" t="s">
        <v>32</v>
      </c>
      <c r="AF2" s="24" t="s">
        <v>33</v>
      </c>
      <c r="AG2" s="24" t="s">
        <v>34</v>
      </c>
      <c r="AH2" s="25" t="s">
        <v>35</v>
      </c>
      <c r="AI2" s="25" t="s">
        <v>36</v>
      </c>
      <c r="AJ2" s="25" t="s">
        <v>37</v>
      </c>
      <c r="AK2" s="25" t="s">
        <v>38</v>
      </c>
      <c r="AL2" s="25" t="s">
        <v>39</v>
      </c>
      <c r="AM2" s="6" t="s">
        <v>30</v>
      </c>
      <c r="AN2" s="6" t="s">
        <v>31</v>
      </c>
      <c r="AO2" s="6" t="s">
        <v>40</v>
      </c>
      <c r="AP2" s="26" t="s">
        <v>41</v>
      </c>
      <c r="AQ2" s="27" t="s">
        <v>42</v>
      </c>
      <c r="AR2" s="28" t="s">
        <v>43</v>
      </c>
      <c r="AS2" s="29" t="s">
        <v>35</v>
      </c>
      <c r="AT2" s="29" t="s">
        <v>35</v>
      </c>
      <c r="AU2" s="30" t="s">
        <v>44</v>
      </c>
      <c r="AV2" s="31" t="s">
        <v>45</v>
      </c>
      <c r="AW2" s="31"/>
      <c r="AX2" s="31"/>
      <c r="AY2" s="31"/>
      <c r="AZ2" s="31"/>
      <c r="BA2" s="31"/>
      <c r="BB2" s="31" t="s">
        <v>46</v>
      </c>
      <c r="BC2" s="31"/>
      <c r="BD2" s="31"/>
      <c r="BE2" s="31"/>
      <c r="BF2" s="31"/>
      <c r="BG2" s="31"/>
      <c r="BH2" s="32" t="s">
        <v>30</v>
      </c>
      <c r="BI2" s="32" t="s">
        <v>31</v>
      </c>
      <c r="BJ2" s="32" t="s">
        <v>47</v>
      </c>
      <c r="BK2" s="32" t="s">
        <v>32</v>
      </c>
      <c r="BL2" s="33"/>
      <c r="BM2" s="32" t="s">
        <v>48</v>
      </c>
      <c r="BN2" s="32"/>
      <c r="BO2" s="32" t="s">
        <v>49</v>
      </c>
      <c r="BP2" s="33" t="s">
        <v>50</v>
      </c>
      <c r="BQ2" s="32" t="s">
        <v>51</v>
      </c>
      <c r="BR2" s="31" t="s">
        <v>52</v>
      </c>
      <c r="BS2" s="31" t="s">
        <v>53</v>
      </c>
      <c r="BT2" s="31" t="s">
        <v>54</v>
      </c>
      <c r="BU2" s="31" t="s">
        <v>55</v>
      </c>
      <c r="BV2" s="31" t="s">
        <v>56</v>
      </c>
      <c r="BW2" s="31" t="s">
        <v>57</v>
      </c>
      <c r="BX2" s="31" t="s">
        <v>58</v>
      </c>
      <c r="BY2" s="31" t="s">
        <v>59</v>
      </c>
      <c r="BZ2" s="31" t="s">
        <v>60</v>
      </c>
      <c r="CA2" s="31" t="s">
        <v>61</v>
      </c>
      <c r="CB2" s="8"/>
      <c r="CC2" s="8"/>
      <c r="CD2" s="8"/>
    </row>
    <row r="3" customFormat="false" ht="32.8" hidden="false" customHeight="false" outlineLevel="0" collapsed="false">
      <c r="A3" s="1"/>
      <c r="B3" s="9"/>
      <c r="C3" s="10"/>
      <c r="D3" s="11"/>
      <c r="E3" s="12"/>
      <c r="F3" s="13"/>
      <c r="G3" s="14"/>
      <c r="H3" s="14"/>
      <c r="I3" s="15"/>
      <c r="J3" s="16"/>
      <c r="K3" s="17"/>
      <c r="L3" s="18"/>
      <c r="M3" s="19" t="s">
        <v>62</v>
      </c>
      <c r="N3" s="19" t="s">
        <v>63</v>
      </c>
      <c r="O3" s="19" t="s">
        <v>64</v>
      </c>
      <c r="P3" s="19" t="s">
        <v>65</v>
      </c>
      <c r="Q3" s="19" t="s">
        <v>63</v>
      </c>
      <c r="R3" s="19" t="s">
        <v>64</v>
      </c>
      <c r="S3" s="16"/>
      <c r="T3" s="20"/>
      <c r="U3" s="20"/>
      <c r="V3" s="16"/>
      <c r="W3" s="16"/>
      <c r="X3" s="16"/>
      <c r="Y3" s="21"/>
      <c r="Z3" s="21"/>
      <c r="AA3" s="22" t="s">
        <v>66</v>
      </c>
      <c r="AB3" s="22" t="s">
        <v>67</v>
      </c>
      <c r="AC3" s="22"/>
      <c r="AD3" s="22"/>
      <c r="AE3" s="22"/>
      <c r="AF3" s="24"/>
      <c r="AG3" s="24"/>
      <c r="AH3" s="25"/>
      <c r="AI3" s="25"/>
      <c r="AJ3" s="25"/>
      <c r="AK3" s="25"/>
      <c r="AL3" s="25"/>
      <c r="AM3" s="6"/>
      <c r="AN3" s="6"/>
      <c r="AO3" s="6"/>
      <c r="AP3" s="26"/>
      <c r="AQ3" s="27"/>
      <c r="AR3" s="28"/>
      <c r="AS3" s="34" t="s">
        <v>66</v>
      </c>
      <c r="AT3" s="34" t="s">
        <v>67</v>
      </c>
      <c r="AU3" s="30"/>
      <c r="AV3" s="31" t="s">
        <v>68</v>
      </c>
      <c r="AW3" s="31" t="s">
        <v>69</v>
      </c>
      <c r="AX3" s="31" t="s">
        <v>70</v>
      </c>
      <c r="AY3" s="31" t="s">
        <v>71</v>
      </c>
      <c r="AZ3" s="31" t="s">
        <v>72</v>
      </c>
      <c r="BA3" s="31" t="s">
        <v>73</v>
      </c>
      <c r="BB3" s="31" t="s">
        <v>68</v>
      </c>
      <c r="BC3" s="31" t="s">
        <v>69</v>
      </c>
      <c r="BD3" s="31" t="s">
        <v>70</v>
      </c>
      <c r="BE3" s="31" t="s">
        <v>71</v>
      </c>
      <c r="BF3" s="31" t="s">
        <v>72</v>
      </c>
      <c r="BG3" s="31" t="s">
        <v>73</v>
      </c>
      <c r="BH3" s="32" t="s">
        <v>30</v>
      </c>
      <c r="BI3" s="32" t="s">
        <v>31</v>
      </c>
      <c r="BJ3" s="32" t="s">
        <v>47</v>
      </c>
      <c r="BK3" s="32" t="s">
        <v>32</v>
      </c>
      <c r="BL3" s="33"/>
      <c r="BM3" s="32" t="s">
        <v>74</v>
      </c>
      <c r="BN3" s="32" t="s">
        <v>75</v>
      </c>
      <c r="BO3" s="32"/>
      <c r="BP3" s="33"/>
      <c r="BQ3" s="32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8"/>
      <c r="CC3" s="8"/>
      <c r="CD3" s="8"/>
    </row>
    <row r="4" customFormat="false" ht="37.3" hidden="false" customHeight="false" outlineLevel="0" collapsed="false">
      <c r="A4" s="35" t="s">
        <v>76</v>
      </c>
      <c r="B4" s="36"/>
      <c r="C4" s="37" t="s">
        <v>77</v>
      </c>
      <c r="D4" s="38"/>
      <c r="E4" s="39" t="s">
        <v>78</v>
      </c>
      <c r="F4" s="40" t="s">
        <v>79</v>
      </c>
      <c r="G4" s="41" t="s">
        <v>80</v>
      </c>
      <c r="H4" s="42" t="s">
        <v>81</v>
      </c>
      <c r="I4" s="43" t="n">
        <v>103000</v>
      </c>
      <c r="J4" s="44"/>
      <c r="K4" s="45" t="s">
        <v>82</v>
      </c>
      <c r="L4" s="46" t="n">
        <v>0.05</v>
      </c>
      <c r="M4" s="47" t="n">
        <v>0.039</v>
      </c>
      <c r="N4" s="47"/>
      <c r="O4" s="47"/>
      <c r="P4" s="47"/>
      <c r="Q4" s="47"/>
      <c r="R4" s="47"/>
      <c r="S4" s="48" t="s">
        <v>83</v>
      </c>
      <c r="T4" s="49" t="n">
        <v>3</v>
      </c>
      <c r="U4" s="49"/>
      <c r="V4" s="48" t="s">
        <v>84</v>
      </c>
      <c r="W4" s="48"/>
      <c r="X4" s="43" t="n">
        <v>100620</v>
      </c>
      <c r="Y4" s="50" t="n">
        <v>793.5</v>
      </c>
      <c r="Z4" s="50" t="n">
        <v>800</v>
      </c>
      <c r="AA4" s="51" t="n">
        <v>0.986</v>
      </c>
      <c r="AB4" s="51"/>
      <c r="AC4" s="51"/>
      <c r="AD4" s="51"/>
      <c r="AE4" s="51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36" t="s">
        <v>85</v>
      </c>
      <c r="AQ4" s="36"/>
      <c r="AR4" s="52" t="n">
        <v>817</v>
      </c>
      <c r="AS4" s="51" t="n">
        <v>0.968</v>
      </c>
      <c r="AT4" s="51"/>
      <c r="AU4" s="53" t="n">
        <v>12</v>
      </c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2"/>
      <c r="BI4" s="51"/>
      <c r="BJ4" s="51"/>
      <c r="BK4" s="55" t="n">
        <v>0.06</v>
      </c>
      <c r="BL4" s="52"/>
      <c r="BM4" s="51"/>
      <c r="BN4" s="51"/>
      <c r="BO4" s="51"/>
      <c r="BP4" s="51"/>
      <c r="BQ4" s="51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2"/>
      <c r="CC4" s="52" t="s">
        <v>86</v>
      </c>
      <c r="CD4" s="52"/>
    </row>
    <row r="5" customFormat="false" ht="126.85" hidden="false" customHeight="false" outlineLevel="0" collapsed="false">
      <c r="A5" s="35" t="n">
        <f aca="false">A4+1</f>
        <v>2</v>
      </c>
      <c r="B5" s="36"/>
      <c r="C5" s="57" t="s">
        <v>87</v>
      </c>
      <c r="D5" s="44"/>
      <c r="E5" s="39" t="s">
        <v>78</v>
      </c>
      <c r="F5" s="40" t="s">
        <v>79</v>
      </c>
      <c r="G5" s="41" t="s">
        <v>80</v>
      </c>
      <c r="H5" s="42" t="s">
        <v>81</v>
      </c>
      <c r="I5" s="43" t="n">
        <v>206000</v>
      </c>
      <c r="J5" s="44"/>
      <c r="K5" s="45" t="s">
        <v>88</v>
      </c>
      <c r="L5" s="46"/>
      <c r="M5" s="47" t="n">
        <v>0.023</v>
      </c>
      <c r="N5" s="47"/>
      <c r="O5" s="47"/>
      <c r="P5" s="51" t="n">
        <v>0.029</v>
      </c>
      <c r="Q5" s="38"/>
      <c r="R5" s="47"/>
      <c r="S5" s="48" t="s">
        <v>89</v>
      </c>
      <c r="T5" s="49" t="n">
        <v>4</v>
      </c>
      <c r="U5" s="49"/>
      <c r="V5" s="48" t="s">
        <v>90</v>
      </c>
      <c r="W5" s="48"/>
      <c r="X5" s="43" t="n">
        <v>205800</v>
      </c>
      <c r="Y5" s="50" t="n">
        <v>784</v>
      </c>
      <c r="Z5" s="50" t="n">
        <v>800</v>
      </c>
      <c r="AA5" s="51" t="n">
        <v>1.07</v>
      </c>
      <c r="AB5" s="51"/>
      <c r="AC5" s="51"/>
      <c r="AD5" s="51"/>
      <c r="AE5" s="51"/>
      <c r="AF5" s="52"/>
      <c r="AG5" s="52"/>
      <c r="AH5" s="51"/>
      <c r="AI5" s="51"/>
      <c r="AJ5" s="51"/>
      <c r="AK5" s="51"/>
      <c r="AL5" s="51"/>
      <c r="AM5" s="51"/>
      <c r="AN5" s="51"/>
      <c r="AO5" s="51"/>
      <c r="AP5" s="36" t="s">
        <v>91</v>
      </c>
      <c r="AQ5" s="36"/>
      <c r="AR5" s="52" t="n">
        <v>805.33</v>
      </c>
      <c r="AS5" s="51" t="n">
        <v>1.003</v>
      </c>
      <c r="AT5" s="51"/>
      <c r="AU5" s="53" t="n">
        <v>16</v>
      </c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1"/>
      <c r="BI5" s="51"/>
      <c r="BJ5" s="51"/>
      <c r="BK5" s="55" t="n">
        <v>0.045</v>
      </c>
      <c r="BL5" s="52"/>
      <c r="BM5" s="51"/>
      <c r="BN5" s="51"/>
      <c r="BO5" s="51"/>
      <c r="BP5" s="51"/>
      <c r="BQ5" s="51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2"/>
      <c r="CC5" s="52" t="s">
        <v>92</v>
      </c>
      <c r="CD5" s="52"/>
    </row>
    <row r="6" customFormat="false" ht="73.1" hidden="false" customHeight="false" outlineLevel="0" collapsed="false">
      <c r="A6" s="35" t="n">
        <f aca="false">A5+1</f>
        <v>3</v>
      </c>
      <c r="B6" s="36"/>
      <c r="C6" s="58" t="s">
        <v>93</v>
      </c>
      <c r="D6" s="44"/>
      <c r="E6" s="59" t="s">
        <v>94</v>
      </c>
      <c r="F6" s="40" t="s">
        <v>95</v>
      </c>
      <c r="G6" s="41" t="s">
        <v>96</v>
      </c>
      <c r="H6" s="42" t="s">
        <v>97</v>
      </c>
      <c r="I6" s="43" t="n">
        <v>515000</v>
      </c>
      <c r="J6" s="44"/>
      <c r="K6" s="45" t="s">
        <v>98</v>
      </c>
      <c r="L6" s="46"/>
      <c r="M6" s="47" t="s">
        <v>99</v>
      </c>
      <c r="N6" s="47"/>
      <c r="O6" s="47"/>
      <c r="P6" s="51"/>
      <c r="Q6" s="47"/>
      <c r="R6" s="47"/>
      <c r="S6" s="48" t="s">
        <v>100</v>
      </c>
      <c r="T6" s="49" t="n">
        <v>3</v>
      </c>
      <c r="U6" s="49"/>
      <c r="V6" s="48" t="s">
        <v>101</v>
      </c>
      <c r="W6" s="48"/>
      <c r="X6" s="43" t="n">
        <v>505300</v>
      </c>
      <c r="Y6" s="50" t="n">
        <v>179</v>
      </c>
      <c r="Z6" s="50" t="n">
        <v>180</v>
      </c>
      <c r="AA6" s="51" t="s">
        <v>102</v>
      </c>
      <c r="AB6" s="51"/>
      <c r="AC6" s="51"/>
      <c r="AD6" s="51"/>
      <c r="AE6" s="51"/>
      <c r="AF6" s="52"/>
      <c r="AG6" s="52"/>
      <c r="AH6" s="51"/>
      <c r="AI6" s="51"/>
      <c r="AJ6" s="51"/>
      <c r="AK6" s="51"/>
      <c r="AL6" s="51"/>
      <c r="AM6" s="51"/>
      <c r="AN6" s="51"/>
      <c r="AO6" s="51"/>
      <c r="AP6" s="36" t="s">
        <v>103</v>
      </c>
      <c r="AQ6" s="36"/>
      <c r="AR6" s="52" t="n">
        <v>800</v>
      </c>
      <c r="AS6" s="51" t="s">
        <v>104</v>
      </c>
      <c r="AT6" s="51"/>
      <c r="AU6" s="53"/>
      <c r="AV6" s="52" t="s">
        <v>105</v>
      </c>
      <c r="AW6" s="54" t="s">
        <v>106</v>
      </c>
      <c r="AX6" s="54" t="s">
        <v>107</v>
      </c>
      <c r="AY6" s="54" t="s">
        <v>107</v>
      </c>
      <c r="AZ6" s="54" t="s">
        <v>108</v>
      </c>
      <c r="BA6" s="54" t="s">
        <v>109</v>
      </c>
      <c r="BB6" s="54"/>
      <c r="BC6" s="54"/>
      <c r="BD6" s="54"/>
      <c r="BE6" s="54"/>
      <c r="BF6" s="54"/>
      <c r="BG6" s="54"/>
      <c r="BH6" s="52"/>
      <c r="BI6" s="51"/>
      <c r="BJ6" s="51"/>
      <c r="BK6" s="55"/>
      <c r="BL6" s="51" t="s">
        <v>110</v>
      </c>
      <c r="BM6" s="51"/>
      <c r="BN6" s="51"/>
      <c r="BO6" s="51"/>
      <c r="BP6" s="51" t="s">
        <v>111</v>
      </c>
      <c r="BQ6" s="51"/>
      <c r="BR6" s="56" t="s">
        <v>112</v>
      </c>
      <c r="BS6" s="56" t="n">
        <v>1.01</v>
      </c>
      <c r="BT6" s="56" t="s">
        <v>113</v>
      </c>
      <c r="BU6" s="56" t="s">
        <v>114</v>
      </c>
      <c r="BV6" s="56" t="s">
        <v>115</v>
      </c>
      <c r="BW6" s="56" t="n">
        <v>1.02</v>
      </c>
      <c r="BX6" s="56" t="s">
        <v>116</v>
      </c>
      <c r="BY6" s="56" t="s">
        <v>117</v>
      </c>
      <c r="BZ6" s="56" t="n">
        <v>1.03</v>
      </c>
      <c r="CA6" s="56" t="s">
        <v>118</v>
      </c>
      <c r="CB6" s="52"/>
      <c r="CC6" s="52"/>
      <c r="CD6" s="52"/>
    </row>
    <row r="7" customFormat="false" ht="111.15" hidden="false" customHeight="false" outlineLevel="0" collapsed="false">
      <c r="A7" s="35" t="n">
        <f aca="false">A6+1</f>
        <v>4</v>
      </c>
      <c r="B7" s="36"/>
      <c r="C7" s="58" t="s">
        <v>119</v>
      </c>
      <c r="D7" s="44"/>
      <c r="E7" s="60" t="s">
        <v>120</v>
      </c>
      <c r="F7" s="61" t="s">
        <v>121</v>
      </c>
      <c r="G7" s="41" t="s">
        <v>122</v>
      </c>
      <c r="H7" s="42" t="s">
        <v>123</v>
      </c>
      <c r="I7" s="43" t="n">
        <v>515000</v>
      </c>
      <c r="J7" s="44"/>
      <c r="K7" s="45" t="s">
        <v>124</v>
      </c>
      <c r="L7" s="46" t="n">
        <v>0.05</v>
      </c>
      <c r="M7" s="47" t="n">
        <v>0.0114</v>
      </c>
      <c r="N7" s="47"/>
      <c r="O7" s="47"/>
      <c r="P7" s="51"/>
      <c r="Q7" s="47"/>
      <c r="R7" s="47"/>
      <c r="S7" s="48" t="s">
        <v>125</v>
      </c>
      <c r="T7" s="49" t="n">
        <v>6</v>
      </c>
      <c r="U7" s="49"/>
      <c r="V7" s="48" t="s">
        <v>126</v>
      </c>
      <c r="W7" s="48"/>
      <c r="X7" s="43" t="n">
        <v>507300</v>
      </c>
      <c r="Y7" s="50" t="n">
        <v>176</v>
      </c>
      <c r="Z7" s="50" t="n">
        <v>180</v>
      </c>
      <c r="AA7" s="51" t="n">
        <v>1.043</v>
      </c>
      <c r="AB7" s="51"/>
      <c r="AC7" s="51"/>
      <c r="AD7" s="51"/>
      <c r="AE7" s="51"/>
      <c r="AF7" s="52"/>
      <c r="AG7" s="52"/>
      <c r="AH7" s="51"/>
      <c r="AI7" s="51"/>
      <c r="AJ7" s="51"/>
      <c r="AK7" s="51"/>
      <c r="AL7" s="51"/>
      <c r="AM7" s="51"/>
      <c r="AN7" s="51"/>
      <c r="AO7" s="51"/>
      <c r="AP7" s="36" t="s">
        <v>127</v>
      </c>
      <c r="AQ7" s="36"/>
      <c r="AR7" s="52" t="n">
        <v>176</v>
      </c>
      <c r="AS7" s="51" t="n">
        <v>0.989</v>
      </c>
      <c r="AT7" s="51"/>
      <c r="AU7" s="53" t="n">
        <v>6</v>
      </c>
      <c r="AV7" s="62" t="n">
        <v>0.962</v>
      </c>
      <c r="AW7" s="52" t="n">
        <v>100.4</v>
      </c>
      <c r="AX7" s="52" t="n">
        <v>101.2</v>
      </c>
      <c r="AY7" s="52" t="n">
        <v>101.8</v>
      </c>
      <c r="AZ7" s="62" t="n">
        <v>1.019</v>
      </c>
      <c r="BA7" s="54" t="n">
        <v>1.03</v>
      </c>
      <c r="BB7" s="54"/>
      <c r="BC7" s="54"/>
      <c r="BD7" s="54"/>
      <c r="BE7" s="54"/>
      <c r="BF7" s="54"/>
      <c r="BG7" s="54"/>
      <c r="BH7" s="51" t="n">
        <v>0.00053</v>
      </c>
      <c r="BI7" s="51"/>
      <c r="BJ7" s="51"/>
      <c r="BK7" s="55" t="n">
        <v>0.00158</v>
      </c>
      <c r="BL7" s="52"/>
      <c r="BM7" s="51"/>
      <c r="BN7" s="51"/>
      <c r="BO7" s="51"/>
      <c r="BP7" s="51"/>
      <c r="BQ7" s="51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2"/>
      <c r="CC7" s="52" t="s">
        <v>128</v>
      </c>
      <c r="CD7" s="52" t="s">
        <v>129</v>
      </c>
    </row>
    <row r="8" customFormat="false" ht="95.5" hidden="false" customHeight="false" outlineLevel="0" collapsed="false">
      <c r="A8" s="35" t="n">
        <f aca="false">A7+1</f>
        <v>5</v>
      </c>
      <c r="B8" s="36"/>
      <c r="C8" s="58" t="s">
        <v>130</v>
      </c>
      <c r="D8" s="44"/>
      <c r="E8" s="60" t="s">
        <v>131</v>
      </c>
      <c r="F8" s="60" t="s">
        <v>132</v>
      </c>
      <c r="G8" s="41" t="s">
        <v>80</v>
      </c>
      <c r="H8" s="42" t="s">
        <v>133</v>
      </c>
      <c r="I8" s="43" t="n">
        <v>103000</v>
      </c>
      <c r="J8" s="44" t="s">
        <v>134</v>
      </c>
      <c r="K8" s="45" t="s">
        <v>135</v>
      </c>
      <c r="L8" s="46"/>
      <c r="M8" s="47" t="s">
        <v>136</v>
      </c>
      <c r="N8" s="47"/>
      <c r="O8" s="47"/>
      <c r="P8" s="47" t="s">
        <v>137</v>
      </c>
      <c r="Q8" s="47"/>
      <c r="R8" s="47"/>
      <c r="S8" s="48" t="s">
        <v>138</v>
      </c>
      <c r="T8" s="49" t="n">
        <v>9</v>
      </c>
      <c r="U8" s="49"/>
      <c r="V8" s="48"/>
      <c r="W8" s="48" t="s">
        <v>139</v>
      </c>
      <c r="X8" s="43" t="n">
        <v>98400</v>
      </c>
      <c r="Y8" s="50" t="n">
        <v>1133</v>
      </c>
      <c r="Z8" s="50" t="n">
        <v>1160</v>
      </c>
      <c r="AA8" s="51" t="s">
        <v>140</v>
      </c>
      <c r="AB8" s="51"/>
      <c r="AC8" s="51"/>
      <c r="AD8" s="51"/>
      <c r="AE8" s="51"/>
      <c r="AF8" s="52"/>
      <c r="AG8" s="52" t="n">
        <v>1154.12</v>
      </c>
      <c r="AH8" s="51" t="n">
        <v>1.017</v>
      </c>
      <c r="AI8" s="51"/>
      <c r="AJ8" s="51"/>
      <c r="AK8" s="51" t="s">
        <v>141</v>
      </c>
      <c r="AL8" s="51"/>
      <c r="AM8" s="51" t="s">
        <v>142</v>
      </c>
      <c r="AN8" s="51" t="n">
        <v>0.0008</v>
      </c>
      <c r="AO8" s="51" t="n">
        <v>0.0008</v>
      </c>
      <c r="AP8" s="36" t="s">
        <v>143</v>
      </c>
      <c r="AQ8" s="36"/>
      <c r="AR8" s="52" t="n">
        <v>1161.87</v>
      </c>
      <c r="AS8" s="51" t="n">
        <v>1.013</v>
      </c>
      <c r="AT8" s="51"/>
      <c r="AU8" s="53" t="n">
        <v>8</v>
      </c>
      <c r="AV8" s="62" t="s">
        <v>144</v>
      </c>
      <c r="AW8" s="62" t="s">
        <v>145</v>
      </c>
      <c r="AX8" s="62" t="s">
        <v>146</v>
      </c>
      <c r="AY8" s="54"/>
      <c r="AZ8" s="54"/>
      <c r="BA8" s="62"/>
      <c r="BB8" s="62"/>
      <c r="BC8" s="62"/>
      <c r="BD8" s="62"/>
      <c r="BE8" s="62"/>
      <c r="BF8" s="62"/>
      <c r="BG8" s="62"/>
      <c r="BH8" s="63" t="n">
        <v>0.00078</v>
      </c>
      <c r="BI8" s="51" t="s">
        <v>147</v>
      </c>
      <c r="BJ8" s="51"/>
      <c r="BK8" s="64" t="n">
        <v>0.00084</v>
      </c>
      <c r="BL8" s="52"/>
      <c r="BM8" s="51"/>
      <c r="BN8" s="51"/>
      <c r="BO8" s="51"/>
      <c r="BP8" s="51"/>
      <c r="BQ8" s="51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2"/>
      <c r="CC8" s="52" t="s">
        <v>148</v>
      </c>
      <c r="CD8" s="52" t="s">
        <v>149</v>
      </c>
    </row>
  </sheetData>
  <mergeCells count="59">
    <mergeCell ref="A1:A3"/>
    <mergeCell ref="C1:J1"/>
    <mergeCell ref="K1:X1"/>
    <mergeCell ref="Y1:AE1"/>
    <mergeCell ref="AF1:AO1"/>
    <mergeCell ref="AP1:CA1"/>
    <mergeCell ref="CB1:CB2"/>
    <mergeCell ref="CC1:CC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O2"/>
    <mergeCell ref="P2:R2"/>
    <mergeCell ref="S2:S3"/>
    <mergeCell ref="T2:T3"/>
    <mergeCell ref="U2:U3"/>
    <mergeCell ref="V2:V3"/>
    <mergeCell ref="Y2:Y3"/>
    <mergeCell ref="Z2:Z3"/>
    <mergeCell ref="AA2:AB2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U2:AU3"/>
    <mergeCell ref="AV2:BA2"/>
    <mergeCell ref="BB2:BG2"/>
    <mergeCell ref="BL2:BL3"/>
    <mergeCell ref="BM2:BN2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2026-05-27T14:51:21Z</dcterms:created>
  <dc:creator/>
  <dc:description/>
  <dc:language>en-US</dc:language>
  <cp:lastModifiedBy/>
  <dcterms:modified xsi:type="dcterms:W3CDTF">2026-05-27T14:53:18Z</dcterms:modified>
  <cp:revision>1</cp:revision>
  <dc:subject/>
  <dc:title/>
</cp:coreProperties>
</file>